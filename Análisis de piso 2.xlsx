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emybarragan/Desktop/Tec de monterrey /Plataformas de analítica de negocios para las organizaciones/Valores_Nulos/Actividad 2.2/"/>
    </mc:Choice>
  </mc:AlternateContent>
  <xr:revisionPtr revIDLastSave="0" documentId="8_{96EC2CEE-6CB5-AF42-A4FC-A88FC19DEC8B}" xr6:coauthVersionLast="47" xr6:coauthVersionMax="47" xr10:uidLastSave="{00000000-0000-0000-0000-000000000000}"/>
  <bookViews>
    <workbookView xWindow="1440" yWindow="760" windowWidth="27640" windowHeight="16780" xr2:uid="{F56CA9D9-3775-C143-BB8A-D1E6877F734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5" i="1" l="1"/>
  <c r="Q2" i="1"/>
  <c r="P2" i="1"/>
</calcChain>
</file>

<file path=xl/sharedStrings.xml><?xml version="1.0" encoding="utf-8"?>
<sst xmlns="http://schemas.openxmlformats.org/spreadsheetml/2006/main" count="198" uniqueCount="74">
  <si>
    <t>Ventas Piso 2024</t>
  </si>
  <si>
    <t>Ventas Piso 2025</t>
  </si>
  <si>
    <t xml:space="preserve">* se actualiza al reportar en Sale-U </t>
  </si>
  <si>
    <t xml:space="preserve">Factor minimo mejor vendedor </t>
  </si>
  <si>
    <t>Leads Prom X Mes</t>
  </si>
  <si>
    <t xml:space="preserve">T. Ventas Piso </t>
  </si>
  <si>
    <t xml:space="preserve">Factor   </t>
  </si>
  <si>
    <t xml:space="preserve">Total de Ventas Historicas </t>
  </si>
  <si>
    <t>RAKING VENTAS</t>
  </si>
  <si>
    <t xml:space="preserve">Dependencia de Piso </t>
  </si>
  <si>
    <t>Historico de PDM</t>
  </si>
  <si>
    <t>Historico de SDC</t>
  </si>
  <si>
    <t>Conversion PDM</t>
  </si>
  <si>
    <t>Conversion SDC</t>
  </si>
  <si>
    <t>Factor  PDM</t>
  </si>
  <si>
    <t>Factor  SDC</t>
  </si>
  <si>
    <t>Raking PDM</t>
  </si>
  <si>
    <t>Raking SDC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</si>
  <si>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</si>
  <si>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</si>
  <si>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</si>
  <si>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</si>
  <si>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</si>
  <si>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</si>
  <si>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</si>
  <si>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</si>
  <si>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</si>
  <si>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</si>
  <si>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</si>
  <si>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ene</t>
  </si>
  <si>
    <t xml:space="preserve">May </t>
  </si>
  <si>
    <t>Junio</t>
  </si>
  <si>
    <t> </t>
  </si>
  <si>
    <t>1.00</t>
  </si>
  <si>
    <t>5.00</t>
  </si>
  <si>
    <t>3.28</t>
  </si>
  <si>
    <t>2.22</t>
  </si>
  <si>
    <t>0.00</t>
  </si>
  <si>
    <t>3.50</t>
  </si>
  <si>
    <t>3.88</t>
  </si>
  <si>
    <t>4.27</t>
  </si>
  <si>
    <t>2.00</t>
  </si>
  <si>
    <t>5.25</t>
  </si>
  <si>
    <t>6.50</t>
  </si>
  <si>
    <t>12.50</t>
  </si>
  <si>
    <t>11.00</t>
  </si>
  <si>
    <t>0.95</t>
  </si>
  <si>
    <t>1.52</t>
  </si>
  <si>
    <t>3.00</t>
  </si>
  <si>
    <t>2.08</t>
  </si>
  <si>
    <t>19.00</t>
  </si>
  <si>
    <t>-</t>
  </si>
  <si>
    <t>1.55</t>
  </si>
  <si>
    <t>1.36</t>
  </si>
  <si>
    <t>2.44</t>
  </si>
  <si>
    <t>9.00</t>
  </si>
  <si>
    <t>0.33</t>
  </si>
  <si>
    <t>1.67</t>
  </si>
  <si>
    <t>3.06</t>
  </si>
  <si>
    <t>4.50</t>
  </si>
  <si>
    <t>3.43</t>
  </si>
  <si>
    <t>3.63</t>
  </si>
  <si>
    <t>4.18</t>
  </si>
  <si>
    <t>2.36</t>
  </si>
  <si>
    <t>8.00</t>
  </si>
  <si>
    <t>9.17</t>
  </si>
  <si>
    <t>4.00</t>
  </si>
  <si>
    <t>4.83</t>
  </si>
  <si>
    <t>6.00</t>
  </si>
  <si>
    <t>0.83</t>
  </si>
  <si>
    <t>1.50</t>
  </si>
  <si>
    <t>3.42</t>
  </si>
  <si>
    <t>2.19</t>
  </si>
  <si>
    <t>2.71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</si>
</sst>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8"/>
      <color rgb="FFFF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70AD47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4" fillId="0" borderId="0" xfId="0" applyFont="1" applyAlignment="1">
      <alignment wrapText="1"/>
    </xf>
    <xf numFmtId="0" fontId="1" fillId="0" borderId="0" xfId="0" applyFont="1"/>
    <xf numFmtId="0" fontId="4" fillId="0" borderId="0" xfId="0" applyFont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2" fillId="2" borderId="13" xfId="0" applyFont="1" applyFill="1" applyBorder="1" applyAlignment="1">
      <alignment horizontal="center" vertical="center" wrapText="1"/>
    </xf>
    <xf numFmtId="0" fontId="1" fillId="0" borderId="14" xfId="0" applyFont="1" applyBorder="1"/>
    <xf numFmtId="0" fontId="1" fillId="0" borderId="15" xfId="0" applyFont="1" applyBorder="1"/>
    <xf numFmtId="9" fontId="1" fillId="0" borderId="0" xfId="0" applyNumberFormat="1" applyFont="1"/>
    <xf numFmtId="9" fontId="1" fillId="0" borderId="0" xfId="0" applyNumberFormat="1" applyFont="1" applyAlignment="1">
      <alignment horizontal="center"/>
    </xf>
    <xf numFmtId="0" fontId="1" fillId="3" borderId="0" xfId="0" applyFont="1" applyFill="1"/>
    <xf numFmtId="0" fontId="1" fillId="0" borderId="0" xfId="0" quotePrefix="1" applyFont="1"/>
    <xf numFmtId="0" fontId="1" fillId="4" borderId="0" xfId="0" applyFont="1" applyFill="1"/>
    <xf numFmtId="0" fontId="1" fillId="5" borderId="0" xfId="0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1E58-3D29-B949-B3CD-1D60C5961B80}">
  <dimension ref="A1:AE43"/>
  <sheetViews>
    <sheetView tabSelected="1" workbookViewId="0">
      <selection activeCell="L14" sqref="L14"/>
    </sheetView>
  </sheetViews>
  <sheetFormatPr baseColWidth="10" defaultRowHeight="16" x14ac:dyDescent="0.2"/>
  <sheetData>
    <row r="1" spans="1:31" ht="37" thickBo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/>
      <c r="P1" s="3"/>
      <c r="Q1" s="4" t="s">
        <v>2</v>
      </c>
      <c r="R1" s="5"/>
      <c r="S1" s="5"/>
      <c r="T1" s="6"/>
      <c r="U1" s="6">
        <v>263</v>
      </c>
      <c r="V1" s="6"/>
      <c r="W1" s="6"/>
      <c r="X1" s="7">
        <v>979</v>
      </c>
      <c r="Y1" s="7">
        <v>811</v>
      </c>
      <c r="Z1" s="6"/>
      <c r="AA1" s="6"/>
      <c r="AB1" s="5" t="s">
        <v>3</v>
      </c>
      <c r="AC1" s="5" t="s">
        <v>3</v>
      </c>
      <c r="AD1" s="6"/>
      <c r="AE1" s="6"/>
    </row>
    <row r="2" spans="1:31" ht="17" thickBot="1" x14ac:dyDescent="0.25">
      <c r="A2" s="8">
        <v>9</v>
      </c>
      <c r="B2" s="9">
        <v>5</v>
      </c>
      <c r="C2" s="9">
        <v>9</v>
      </c>
      <c r="D2" s="9">
        <v>1</v>
      </c>
      <c r="E2" s="9">
        <v>3</v>
      </c>
      <c r="F2" s="9">
        <v>10</v>
      </c>
      <c r="G2" s="9">
        <v>9</v>
      </c>
      <c r="H2" s="9">
        <v>6</v>
      </c>
      <c r="I2" s="9">
        <v>3</v>
      </c>
      <c r="J2" s="9">
        <v>11</v>
      </c>
      <c r="K2" s="9">
        <v>8</v>
      </c>
      <c r="L2" s="9">
        <v>10</v>
      </c>
      <c r="M2" s="9">
        <v>12</v>
      </c>
      <c r="N2" s="9">
        <v>9</v>
      </c>
      <c r="O2" s="7">
        <v>4</v>
      </c>
      <c r="P2" s="10">
        <f>SUM(P4:P43)</f>
        <v>12</v>
      </c>
      <c r="Q2" s="11">
        <f>SUM(Q4:Q43)</f>
        <v>3</v>
      </c>
      <c r="R2" s="12" t="s">
        <v>4</v>
      </c>
      <c r="S2" s="12" t="s">
        <v>5</v>
      </c>
      <c r="T2" s="13" t="s">
        <v>6</v>
      </c>
      <c r="U2" s="14" t="s">
        <v>7</v>
      </c>
      <c r="V2" s="15" t="s">
        <v>8</v>
      </c>
      <c r="W2" s="16" t="s">
        <v>9</v>
      </c>
      <c r="X2" s="16" t="s">
        <v>10</v>
      </c>
      <c r="Y2" s="16" t="s">
        <v>11</v>
      </c>
      <c r="Z2" s="16" t="s">
        <v>12</v>
      </c>
      <c r="AA2" s="16" t="s">
        <v>13</v>
      </c>
      <c r="AB2" s="16" t="s">
        <v>14</v>
      </c>
      <c r="AC2" s="16" t="s">
        <v>15</v>
      </c>
      <c r="AD2" s="17" t="s">
        <v>16</v>
      </c>
      <c r="AE2" s="17" t="s">
        <v>17</v>
      </c>
    </row>
    <row r="3" spans="1:31" ht="17" thickBot="1" x14ac:dyDescent="0.25">
      <c r="A3" s="18" t="s">
        <v>18</v>
      </c>
      <c r="B3" s="19" t="s">
        <v>19</v>
      </c>
      <c r="C3" s="19" t="s">
        <v>20</v>
      </c>
      <c r="D3" s="19" t="s">
        <v>21</v>
      </c>
      <c r="E3" s="19" t="s">
        <v>22</v>
      </c>
      <c r="F3" s="19" t="s">
        <v>23</v>
      </c>
      <c r="G3" s="19" t="s">
        <v>24</v>
      </c>
      <c r="H3" s="19" t="s">
        <v>25</v>
      </c>
      <c r="I3" s="19" t="s">
        <v>26</v>
      </c>
      <c r="J3" s="19" t="s">
        <v>27</v>
      </c>
      <c r="K3" s="19" t="s">
        <v>28</v>
      </c>
      <c r="L3" s="19" t="s">
        <v>29</v>
      </c>
      <c r="M3" s="20" t="s">
        <v>18</v>
      </c>
      <c r="N3" s="21" t="s">
        <v>19</v>
      </c>
      <c r="O3" s="22" t="s">
        <v>20</v>
      </c>
      <c r="P3" s="21" t="s">
        <v>30</v>
      </c>
      <c r="Q3" s="23" t="s">
        <v>31</v>
      </c>
      <c r="R3" s="12"/>
      <c r="S3" s="12"/>
      <c r="T3" s="13"/>
      <c r="U3" s="14"/>
      <c r="V3" s="24"/>
      <c r="W3" s="16"/>
      <c r="X3" s="16"/>
      <c r="Y3" s="16"/>
      <c r="Z3" s="16"/>
      <c r="AA3" s="16"/>
      <c r="AB3" s="16"/>
      <c r="AC3" s="16"/>
      <c r="AD3" s="17"/>
      <c r="AE3" s="17"/>
    </row>
    <row r="4" spans="1:31" x14ac:dyDescent="0.2">
      <c r="A4" s="25" t="s">
        <v>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 t="s">
        <v>32</v>
      </c>
      <c r="P4" s="6"/>
      <c r="Q4" s="26"/>
      <c r="R4" s="6">
        <v>0</v>
      </c>
      <c r="S4" s="6">
        <v>0</v>
      </c>
      <c r="T4" s="27">
        <v>0</v>
      </c>
      <c r="U4" s="6">
        <v>1</v>
      </c>
      <c r="V4" s="6">
        <v>23</v>
      </c>
      <c r="W4" s="27">
        <v>0</v>
      </c>
      <c r="X4" s="6">
        <v>1</v>
      </c>
      <c r="Y4" s="6">
        <v>5</v>
      </c>
      <c r="Z4" s="27">
        <v>1</v>
      </c>
      <c r="AA4" s="28">
        <v>0</v>
      </c>
      <c r="AB4" s="6" t="s">
        <v>33</v>
      </c>
      <c r="AC4" s="6" t="s">
        <v>34</v>
      </c>
      <c r="AD4" s="6">
        <v>1</v>
      </c>
      <c r="AE4" s="6">
        <v>20</v>
      </c>
    </row>
    <row r="5" spans="1:31" x14ac:dyDescent="0.2">
      <c r="A5" s="25" t="s">
        <v>32</v>
      </c>
      <c r="B5" s="6"/>
      <c r="C5" s="6"/>
      <c r="D5" s="6"/>
      <c r="E5" s="6"/>
      <c r="F5" s="6"/>
      <c r="G5" s="6"/>
      <c r="H5" s="6"/>
      <c r="I5" s="6"/>
      <c r="J5" s="6">
        <v>1</v>
      </c>
      <c r="K5" s="6">
        <v>2</v>
      </c>
      <c r="L5" s="6">
        <v>4</v>
      </c>
      <c r="M5" s="6">
        <v>1</v>
      </c>
      <c r="N5" s="6">
        <v>2</v>
      </c>
      <c r="O5" s="6">
        <v>1</v>
      </c>
      <c r="P5" s="6">
        <v>1</v>
      </c>
      <c r="Q5" s="26"/>
      <c r="R5" s="6">
        <v>10</v>
      </c>
      <c r="S5" s="6">
        <v>11</v>
      </c>
      <c r="T5" s="27">
        <v>0.18</v>
      </c>
      <c r="U5" s="6">
        <v>18</v>
      </c>
      <c r="V5" s="6">
        <v>6</v>
      </c>
      <c r="W5" s="27">
        <v>0.61</v>
      </c>
      <c r="X5" s="6">
        <v>59</v>
      </c>
      <c r="Y5" s="6">
        <v>40</v>
      </c>
      <c r="Z5" s="27">
        <v>0.31</v>
      </c>
      <c r="AA5" s="28">
        <v>0.02</v>
      </c>
      <c r="AB5" s="6" t="s">
        <v>35</v>
      </c>
      <c r="AC5" s="6" t="s">
        <v>36</v>
      </c>
      <c r="AD5" s="6">
        <v>7</v>
      </c>
      <c r="AE5" s="6">
        <v>10</v>
      </c>
    </row>
    <row r="6" spans="1:31" x14ac:dyDescent="0.2">
      <c r="A6" s="25" t="s">
        <v>32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 t="s">
        <v>32</v>
      </c>
      <c r="P6" s="6"/>
      <c r="Q6" s="26"/>
      <c r="R6" s="6">
        <v>0</v>
      </c>
      <c r="S6" s="6">
        <v>0</v>
      </c>
      <c r="T6" s="27">
        <v>0</v>
      </c>
      <c r="U6" s="6"/>
      <c r="V6" s="6">
        <v>0</v>
      </c>
      <c r="W6" s="27">
        <v>0</v>
      </c>
      <c r="X6" s="6">
        <v>1</v>
      </c>
      <c r="Y6" s="6">
        <v>1</v>
      </c>
      <c r="Z6" s="27">
        <v>0</v>
      </c>
      <c r="AA6" s="28">
        <v>0</v>
      </c>
      <c r="AB6" s="6" t="s">
        <v>37</v>
      </c>
      <c r="AC6" s="6" t="s">
        <v>37</v>
      </c>
      <c r="AD6" s="6"/>
      <c r="AE6" s="6"/>
    </row>
    <row r="7" spans="1:31" x14ac:dyDescent="0.2">
      <c r="A7" s="25" t="s">
        <v>32</v>
      </c>
      <c r="B7" s="6"/>
      <c r="C7" s="6"/>
      <c r="D7" s="6"/>
      <c r="E7" s="6"/>
      <c r="F7" s="6"/>
      <c r="G7" s="6"/>
      <c r="H7" s="6"/>
      <c r="I7" s="6">
        <v>2</v>
      </c>
      <c r="J7" s="6"/>
      <c r="K7" s="6"/>
      <c r="L7" s="6"/>
      <c r="M7" s="6"/>
      <c r="N7" s="6">
        <v>1</v>
      </c>
      <c r="O7" s="6" t="s">
        <v>32</v>
      </c>
      <c r="P7" s="6">
        <v>3</v>
      </c>
      <c r="Q7" s="26">
        <v>2</v>
      </c>
      <c r="R7" s="6">
        <v>8</v>
      </c>
      <c r="S7" s="6">
        <v>3</v>
      </c>
      <c r="T7" s="27">
        <v>0.09</v>
      </c>
      <c r="U7" s="6">
        <v>8</v>
      </c>
      <c r="V7" s="6">
        <v>11</v>
      </c>
      <c r="W7" s="27">
        <v>0.38</v>
      </c>
      <c r="X7" s="6">
        <v>28</v>
      </c>
      <c r="Y7" s="6">
        <v>31</v>
      </c>
      <c r="Z7" s="27">
        <v>0.28999999999999998</v>
      </c>
      <c r="AA7" s="28">
        <v>0.01</v>
      </c>
      <c r="AB7" s="6" t="s">
        <v>38</v>
      </c>
      <c r="AC7" s="6" t="s">
        <v>39</v>
      </c>
      <c r="AD7" s="6">
        <v>9</v>
      </c>
      <c r="AE7" s="6">
        <v>18</v>
      </c>
    </row>
    <row r="8" spans="1:31" x14ac:dyDescent="0.2">
      <c r="A8" s="25" t="s">
        <v>32</v>
      </c>
      <c r="B8" s="6"/>
      <c r="C8" s="6"/>
      <c r="D8" s="6"/>
      <c r="E8" s="6"/>
      <c r="F8" s="6"/>
      <c r="G8" s="6"/>
      <c r="H8" s="6">
        <v>2</v>
      </c>
      <c r="I8" s="6"/>
      <c r="J8" s="6">
        <v>3</v>
      </c>
      <c r="K8" s="6">
        <v>1</v>
      </c>
      <c r="L8" s="6"/>
      <c r="M8" s="6">
        <v>3</v>
      </c>
      <c r="N8" s="6"/>
      <c r="O8" s="6" t="s">
        <v>32</v>
      </c>
      <c r="P8" s="6"/>
      <c r="Q8" s="26"/>
      <c r="R8" s="6">
        <v>7</v>
      </c>
      <c r="S8" s="6">
        <v>9</v>
      </c>
      <c r="T8" s="27">
        <v>0.16</v>
      </c>
      <c r="U8" s="6">
        <v>15</v>
      </c>
      <c r="V8" s="6">
        <v>8</v>
      </c>
      <c r="W8" s="27">
        <v>0.6</v>
      </c>
      <c r="X8" s="6">
        <v>64</v>
      </c>
      <c r="Y8" s="6">
        <v>30</v>
      </c>
      <c r="Z8" s="27">
        <v>0.23</v>
      </c>
      <c r="AA8" s="28">
        <v>0.02</v>
      </c>
      <c r="AB8" s="6" t="s">
        <v>40</v>
      </c>
      <c r="AC8" s="6" t="s">
        <v>41</v>
      </c>
      <c r="AD8" s="6">
        <v>13</v>
      </c>
      <c r="AE8" s="6">
        <v>7</v>
      </c>
    </row>
    <row r="9" spans="1:31" x14ac:dyDescent="0.2">
      <c r="A9" s="25" t="s">
        <v>32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>
        <v>1</v>
      </c>
      <c r="N9" s="6"/>
      <c r="O9" s="6" t="s">
        <v>32</v>
      </c>
      <c r="P9" s="6"/>
      <c r="Q9" s="26"/>
      <c r="R9" s="6">
        <v>1</v>
      </c>
      <c r="S9" s="6">
        <v>1</v>
      </c>
      <c r="T9" s="27">
        <v>0.25</v>
      </c>
      <c r="U9" s="6">
        <v>4</v>
      </c>
      <c r="V9" s="6">
        <v>17</v>
      </c>
      <c r="W9" s="27">
        <v>0.25</v>
      </c>
      <c r="X9" s="6">
        <v>21</v>
      </c>
      <c r="Y9" s="6">
        <v>26</v>
      </c>
      <c r="Z9" s="27">
        <v>0.19</v>
      </c>
      <c r="AA9" s="28">
        <v>0.01</v>
      </c>
      <c r="AB9" s="6" t="s">
        <v>42</v>
      </c>
      <c r="AC9" s="6" t="s">
        <v>43</v>
      </c>
      <c r="AD9" s="6">
        <v>18</v>
      </c>
      <c r="AE9" s="6">
        <v>23</v>
      </c>
    </row>
    <row r="10" spans="1:31" x14ac:dyDescent="0.2">
      <c r="A10" s="25" t="s">
        <v>32</v>
      </c>
      <c r="B10" s="6">
        <v>3</v>
      </c>
      <c r="C10" s="6">
        <v>2</v>
      </c>
      <c r="D10" s="6">
        <v>1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 t="s">
        <v>32</v>
      </c>
      <c r="P10" s="6"/>
      <c r="Q10" s="26"/>
      <c r="R10" s="6">
        <v>16</v>
      </c>
      <c r="S10" s="6">
        <v>6</v>
      </c>
      <c r="T10" s="27">
        <v>0.06</v>
      </c>
      <c r="U10" s="6"/>
      <c r="V10" s="6">
        <v>0</v>
      </c>
      <c r="W10" s="27">
        <v>0</v>
      </c>
      <c r="X10" s="6">
        <v>54</v>
      </c>
      <c r="Y10" s="6">
        <v>8</v>
      </c>
      <c r="Z10" s="27">
        <v>0</v>
      </c>
      <c r="AA10" s="28">
        <v>0</v>
      </c>
      <c r="AB10" s="6" t="s">
        <v>37</v>
      </c>
      <c r="AC10" s="6" t="s">
        <v>37</v>
      </c>
      <c r="AD10" s="6"/>
      <c r="AE10" s="6"/>
    </row>
    <row r="11" spans="1:31" x14ac:dyDescent="0.2">
      <c r="A11" s="25" t="s">
        <v>32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 t="s">
        <v>32</v>
      </c>
      <c r="P11" s="6"/>
      <c r="Q11" s="26"/>
      <c r="R11" s="6">
        <v>1</v>
      </c>
      <c r="S11" s="6">
        <v>0</v>
      </c>
      <c r="T11" s="27">
        <v>0</v>
      </c>
      <c r="U11" s="6"/>
      <c r="V11" s="6">
        <v>0</v>
      </c>
      <c r="W11" s="27">
        <v>0</v>
      </c>
      <c r="X11" s="6">
        <v>3</v>
      </c>
      <c r="Y11" s="6">
        <v>5</v>
      </c>
      <c r="Z11" s="27">
        <v>0</v>
      </c>
      <c r="AA11" s="28">
        <v>0</v>
      </c>
      <c r="AB11" s="6" t="s">
        <v>37</v>
      </c>
      <c r="AC11" s="6" t="s">
        <v>37</v>
      </c>
      <c r="AD11" s="6"/>
      <c r="AE11" s="6"/>
    </row>
    <row r="12" spans="1:31" x14ac:dyDescent="0.2">
      <c r="A12" s="25" t="s">
        <v>32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 t="s">
        <v>32</v>
      </c>
      <c r="P12" s="6"/>
      <c r="Q12" s="26"/>
      <c r="R12" s="6">
        <v>2</v>
      </c>
      <c r="S12" s="6">
        <v>0</v>
      </c>
      <c r="T12" s="27">
        <v>0</v>
      </c>
      <c r="U12" s="6">
        <v>2</v>
      </c>
      <c r="V12" s="6">
        <v>19</v>
      </c>
      <c r="W12" s="27">
        <v>0</v>
      </c>
      <c r="X12" s="6">
        <v>25</v>
      </c>
      <c r="Y12" s="6">
        <v>22</v>
      </c>
      <c r="Z12" s="27">
        <v>0.08</v>
      </c>
      <c r="AA12" s="28">
        <v>0</v>
      </c>
      <c r="AB12" s="6" t="s">
        <v>44</v>
      </c>
      <c r="AC12" s="6" t="s">
        <v>45</v>
      </c>
      <c r="AD12" s="6">
        <v>22</v>
      </c>
      <c r="AE12" s="6">
        <v>26</v>
      </c>
    </row>
    <row r="13" spans="1:31" x14ac:dyDescent="0.2">
      <c r="A13" s="25" t="s">
        <v>32</v>
      </c>
      <c r="B13" s="6"/>
      <c r="C13" s="6"/>
      <c r="D13" s="6"/>
      <c r="E13" s="6"/>
      <c r="F13" s="6"/>
      <c r="G13" s="6"/>
      <c r="H13" s="6"/>
      <c r="I13" s="6"/>
      <c r="J13" s="6">
        <v>1</v>
      </c>
      <c r="K13" s="6"/>
      <c r="L13" s="6"/>
      <c r="M13" s="6">
        <v>1</v>
      </c>
      <c r="N13" s="6"/>
      <c r="O13" s="6" t="s">
        <v>32</v>
      </c>
      <c r="P13" s="6"/>
      <c r="Q13" s="26"/>
      <c r="R13" s="6">
        <v>2</v>
      </c>
      <c r="S13" s="6">
        <v>2</v>
      </c>
      <c r="T13" s="27">
        <v>0.15</v>
      </c>
      <c r="U13" s="29">
        <v>21</v>
      </c>
      <c r="V13" s="6">
        <v>4</v>
      </c>
      <c r="W13" s="27">
        <v>0.1</v>
      </c>
      <c r="X13" s="6">
        <v>20</v>
      </c>
      <c r="Y13" s="6">
        <v>32</v>
      </c>
      <c r="Z13" s="27">
        <v>1.05</v>
      </c>
      <c r="AA13" s="28">
        <v>0</v>
      </c>
      <c r="AB13" s="6" t="s">
        <v>46</v>
      </c>
      <c r="AC13" s="6" t="s">
        <v>47</v>
      </c>
      <c r="AD13" s="6"/>
      <c r="AE13" s="6">
        <v>3</v>
      </c>
    </row>
    <row r="14" spans="1:31" x14ac:dyDescent="0.2">
      <c r="A14" s="25" t="s">
        <v>32</v>
      </c>
      <c r="B14" s="6"/>
      <c r="C14" s="6"/>
      <c r="D14" s="6"/>
      <c r="E14" s="6"/>
      <c r="F14" s="6"/>
      <c r="G14" s="6"/>
      <c r="H14" s="6"/>
      <c r="I14" s="6"/>
      <c r="J14" s="6">
        <v>1</v>
      </c>
      <c r="K14" s="6">
        <v>1</v>
      </c>
      <c r="L14" s="6">
        <v>1</v>
      </c>
      <c r="M14" s="6">
        <v>2</v>
      </c>
      <c r="N14" s="6"/>
      <c r="O14" s="6" t="s">
        <v>32</v>
      </c>
      <c r="P14" s="6"/>
      <c r="Q14" s="26"/>
      <c r="R14" s="6">
        <v>8</v>
      </c>
      <c r="S14" s="6">
        <v>5</v>
      </c>
      <c r="T14" s="27">
        <v>0.11</v>
      </c>
      <c r="U14" s="6">
        <v>12</v>
      </c>
      <c r="V14" s="6">
        <v>9</v>
      </c>
      <c r="W14" s="27">
        <v>0.42</v>
      </c>
      <c r="X14" s="6">
        <v>36</v>
      </c>
      <c r="Y14" s="6">
        <v>25</v>
      </c>
      <c r="Z14" s="27">
        <v>0.33</v>
      </c>
      <c r="AA14" s="28">
        <v>0.02</v>
      </c>
      <c r="AB14" s="6" t="s">
        <v>48</v>
      </c>
      <c r="AC14" s="6" t="s">
        <v>49</v>
      </c>
      <c r="AD14" s="6">
        <v>6</v>
      </c>
      <c r="AE14" s="6">
        <v>9</v>
      </c>
    </row>
    <row r="15" spans="1:31" x14ac:dyDescent="0.2">
      <c r="A15" s="25" t="s">
        <v>32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 t="s">
        <v>32</v>
      </c>
      <c r="P15" s="6"/>
      <c r="Q15" s="26"/>
      <c r="R15" s="6">
        <v>6</v>
      </c>
      <c r="S15" s="6">
        <v>0</v>
      </c>
      <c r="T15" s="27">
        <v>0</v>
      </c>
      <c r="U15" s="6">
        <v>1</v>
      </c>
      <c r="V15" s="6">
        <v>23</v>
      </c>
      <c r="W15" s="27">
        <v>0</v>
      </c>
      <c r="X15" s="6">
        <v>19</v>
      </c>
      <c r="Y15" s="6">
        <v>5</v>
      </c>
      <c r="Z15" s="27">
        <v>0.05</v>
      </c>
      <c r="AA15" s="28">
        <v>0</v>
      </c>
      <c r="AB15" s="6" t="s">
        <v>50</v>
      </c>
      <c r="AC15" s="6" t="s">
        <v>34</v>
      </c>
      <c r="AD15" s="6">
        <v>23</v>
      </c>
      <c r="AE15" s="6">
        <v>20</v>
      </c>
    </row>
    <row r="16" spans="1:31" x14ac:dyDescent="0.2">
      <c r="A16" s="25">
        <v>2</v>
      </c>
      <c r="B16" s="6">
        <v>2</v>
      </c>
      <c r="C16" s="6">
        <v>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 t="s">
        <v>32</v>
      </c>
      <c r="P16" s="6"/>
      <c r="Q16" s="26"/>
      <c r="R16" s="6">
        <v>3</v>
      </c>
      <c r="S16" s="6">
        <v>5</v>
      </c>
      <c r="T16" s="27">
        <v>0.56000000000000005</v>
      </c>
      <c r="U16" s="6"/>
      <c r="V16" s="30" t="s">
        <v>51</v>
      </c>
      <c r="W16" s="27">
        <v>0</v>
      </c>
      <c r="X16" s="6">
        <v>7</v>
      </c>
      <c r="Y16" s="6">
        <v>5</v>
      </c>
      <c r="Z16" s="27">
        <v>0</v>
      </c>
      <c r="AA16" s="28">
        <v>0</v>
      </c>
      <c r="AB16" s="6" t="s">
        <v>37</v>
      </c>
      <c r="AC16" s="6" t="s">
        <v>37</v>
      </c>
      <c r="AD16" s="6"/>
      <c r="AE16" s="6"/>
    </row>
    <row r="17" spans="1:31" x14ac:dyDescent="0.2">
      <c r="A17" s="25" t="s">
        <v>32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 t="s">
        <v>32</v>
      </c>
      <c r="P17" s="6"/>
      <c r="Q17" s="26"/>
      <c r="R17" s="6">
        <v>4</v>
      </c>
      <c r="S17" s="6">
        <v>0</v>
      </c>
      <c r="T17" s="27">
        <v>0</v>
      </c>
      <c r="U17" s="6"/>
      <c r="V17" s="30" t="s">
        <v>51</v>
      </c>
      <c r="W17" s="27">
        <v>0</v>
      </c>
      <c r="X17" s="6">
        <v>8</v>
      </c>
      <c r="Y17" s="6">
        <v>7</v>
      </c>
      <c r="Z17" s="27">
        <v>0</v>
      </c>
      <c r="AA17" s="28">
        <v>0</v>
      </c>
      <c r="AB17" s="6" t="s">
        <v>37</v>
      </c>
      <c r="AC17" s="6" t="s">
        <v>37</v>
      </c>
      <c r="AD17" s="6"/>
      <c r="AE17" s="6"/>
    </row>
    <row r="18" spans="1:31" x14ac:dyDescent="0.2">
      <c r="A18" s="25" t="s">
        <v>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 t="s">
        <v>32</v>
      </c>
      <c r="P18" s="6"/>
      <c r="Q18" s="26"/>
      <c r="R18" s="6">
        <v>1</v>
      </c>
      <c r="S18" s="6">
        <v>0</v>
      </c>
      <c r="T18" s="27">
        <v>0</v>
      </c>
      <c r="U18" s="6">
        <v>2</v>
      </c>
      <c r="V18" s="6">
        <v>19</v>
      </c>
      <c r="W18" s="27">
        <v>0</v>
      </c>
      <c r="X18" s="6">
        <v>25</v>
      </c>
      <c r="Y18" s="6">
        <v>22</v>
      </c>
      <c r="Z18" s="27">
        <v>0.08</v>
      </c>
      <c r="AA18" s="28">
        <v>0</v>
      </c>
      <c r="AB18" s="6" t="s">
        <v>44</v>
      </c>
      <c r="AC18" s="6" t="s">
        <v>45</v>
      </c>
      <c r="AD18" s="6">
        <v>22</v>
      </c>
      <c r="AE18" s="6">
        <v>26</v>
      </c>
    </row>
    <row r="19" spans="1:31" x14ac:dyDescent="0.2">
      <c r="A19" s="25" t="s">
        <v>32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 t="s">
        <v>32</v>
      </c>
      <c r="P19" s="6"/>
      <c r="Q19" s="26"/>
      <c r="R19" s="6">
        <v>3</v>
      </c>
      <c r="S19" s="6">
        <v>0</v>
      </c>
      <c r="T19" s="27">
        <v>0</v>
      </c>
      <c r="U19" s="29">
        <v>11</v>
      </c>
      <c r="V19" s="6">
        <v>10</v>
      </c>
      <c r="W19" s="27">
        <v>0</v>
      </c>
      <c r="X19" s="6">
        <v>17</v>
      </c>
      <c r="Y19" s="6">
        <v>11</v>
      </c>
      <c r="Z19" s="27">
        <v>0.65</v>
      </c>
      <c r="AA19" s="28">
        <v>0</v>
      </c>
      <c r="AB19" s="6" t="s">
        <v>52</v>
      </c>
      <c r="AC19" s="6" t="s">
        <v>33</v>
      </c>
      <c r="AD19" s="6">
        <v>3</v>
      </c>
      <c r="AE19" s="6">
        <v>1</v>
      </c>
    </row>
    <row r="20" spans="1:31" x14ac:dyDescent="0.2">
      <c r="A20" s="25" t="s">
        <v>32</v>
      </c>
      <c r="B20" s="6"/>
      <c r="C20" s="6">
        <v>1</v>
      </c>
      <c r="D20" s="6"/>
      <c r="E20" s="6">
        <v>1</v>
      </c>
      <c r="F20" s="6">
        <v>2</v>
      </c>
      <c r="G20" s="6">
        <v>2</v>
      </c>
      <c r="H20" s="6"/>
      <c r="I20" s="6">
        <v>1</v>
      </c>
      <c r="J20" s="6"/>
      <c r="K20" s="6"/>
      <c r="L20" s="6"/>
      <c r="M20" s="6"/>
      <c r="N20" s="6"/>
      <c r="O20" s="6" t="s">
        <v>32</v>
      </c>
      <c r="P20" s="6"/>
      <c r="Q20" s="26"/>
      <c r="R20" s="6">
        <v>9</v>
      </c>
      <c r="S20" s="6">
        <v>7</v>
      </c>
      <c r="T20" s="27">
        <v>0.11</v>
      </c>
      <c r="U20" s="6">
        <v>25</v>
      </c>
      <c r="V20" s="6">
        <v>3</v>
      </c>
      <c r="W20" s="27">
        <v>0.28000000000000003</v>
      </c>
      <c r="X20" s="6">
        <v>34</v>
      </c>
      <c r="Y20" s="6">
        <v>61</v>
      </c>
      <c r="Z20" s="27">
        <v>0.74</v>
      </c>
      <c r="AA20" s="28">
        <v>0</v>
      </c>
      <c r="AB20" s="6" t="s">
        <v>53</v>
      </c>
      <c r="AC20" s="6" t="s">
        <v>54</v>
      </c>
      <c r="AD20" s="6">
        <v>2</v>
      </c>
      <c r="AE20" s="6">
        <v>12</v>
      </c>
    </row>
    <row r="21" spans="1:31" x14ac:dyDescent="0.2">
      <c r="A21" s="25">
        <v>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 t="s">
        <v>32</v>
      </c>
      <c r="P21" s="6"/>
      <c r="Q21" s="26"/>
      <c r="R21" s="6">
        <v>0</v>
      </c>
      <c r="S21" s="6">
        <v>2</v>
      </c>
      <c r="T21" s="27">
        <v>0.02</v>
      </c>
      <c r="U21" s="6">
        <v>2</v>
      </c>
      <c r="V21" s="6">
        <v>19</v>
      </c>
      <c r="W21" s="27">
        <v>1</v>
      </c>
      <c r="X21" s="6">
        <v>18</v>
      </c>
      <c r="Y21" s="6">
        <v>6</v>
      </c>
      <c r="Z21" s="27">
        <v>0.11</v>
      </c>
      <c r="AA21" s="28">
        <v>0.17</v>
      </c>
      <c r="AB21" s="6" t="s">
        <v>55</v>
      </c>
      <c r="AC21" s="6" t="s">
        <v>48</v>
      </c>
      <c r="AD21" s="6">
        <v>20</v>
      </c>
      <c r="AE21" s="6">
        <v>15</v>
      </c>
    </row>
    <row r="22" spans="1:31" x14ac:dyDescent="0.2">
      <c r="A22" s="25" t="s">
        <v>32</v>
      </c>
      <c r="B22" s="6"/>
      <c r="C22" s="6"/>
      <c r="D22" s="6"/>
      <c r="E22" s="6"/>
      <c r="F22" s="6">
        <v>1</v>
      </c>
      <c r="G22" s="6"/>
      <c r="H22" s="6"/>
      <c r="I22" s="6"/>
      <c r="J22" s="6"/>
      <c r="K22" s="6"/>
      <c r="L22" s="6"/>
      <c r="M22" s="6"/>
      <c r="N22" s="6"/>
      <c r="O22" s="6" t="s">
        <v>32</v>
      </c>
      <c r="P22" s="6"/>
      <c r="Q22" s="26"/>
      <c r="R22" s="6">
        <v>8</v>
      </c>
      <c r="S22" s="6">
        <v>1</v>
      </c>
      <c r="T22" s="27">
        <v>0.13</v>
      </c>
      <c r="U22" s="6">
        <v>1</v>
      </c>
      <c r="V22" s="6">
        <v>23</v>
      </c>
      <c r="W22" s="27">
        <v>1</v>
      </c>
      <c r="X22" s="6">
        <v>5</v>
      </c>
      <c r="Y22" s="6">
        <v>2</v>
      </c>
      <c r="Z22" s="27">
        <v>0.2</v>
      </c>
      <c r="AA22" s="28">
        <v>0.5</v>
      </c>
      <c r="AB22" s="6" t="s">
        <v>34</v>
      </c>
      <c r="AC22" s="6" t="s">
        <v>41</v>
      </c>
      <c r="AD22" s="6">
        <v>17</v>
      </c>
      <c r="AE22" s="6">
        <v>7</v>
      </c>
    </row>
    <row r="23" spans="1:31" x14ac:dyDescent="0.2">
      <c r="A23" s="25" t="s">
        <v>32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 t="s">
        <v>32</v>
      </c>
      <c r="P23" s="6"/>
      <c r="Q23" s="26"/>
      <c r="R23" s="6">
        <v>2</v>
      </c>
      <c r="S23" s="6">
        <v>0</v>
      </c>
      <c r="T23" s="27">
        <v>0</v>
      </c>
      <c r="U23" s="6"/>
      <c r="V23" s="30" t="s">
        <v>51</v>
      </c>
      <c r="W23" s="27">
        <v>0</v>
      </c>
      <c r="X23" s="6">
        <v>4</v>
      </c>
      <c r="Y23" s="6">
        <v>8</v>
      </c>
      <c r="Z23" s="27">
        <v>0</v>
      </c>
      <c r="AA23" s="28">
        <v>0</v>
      </c>
      <c r="AB23" s="6" t="s">
        <v>37</v>
      </c>
      <c r="AC23" s="6" t="s">
        <v>37</v>
      </c>
      <c r="AD23" s="6"/>
      <c r="AE23" s="6"/>
    </row>
    <row r="24" spans="1:31" x14ac:dyDescent="0.2">
      <c r="A24" s="25">
        <v>2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 t="s">
        <v>32</v>
      </c>
      <c r="P24" s="6"/>
      <c r="Q24" s="26"/>
      <c r="R24" s="6">
        <v>0</v>
      </c>
      <c r="S24" s="6">
        <v>2</v>
      </c>
      <c r="T24" s="27">
        <v>1</v>
      </c>
      <c r="U24" s="6">
        <v>3</v>
      </c>
      <c r="V24" s="6">
        <v>18</v>
      </c>
      <c r="W24" s="27">
        <v>0.67</v>
      </c>
      <c r="X24" s="6">
        <v>1</v>
      </c>
      <c r="Y24" s="6">
        <v>5</v>
      </c>
      <c r="Z24" s="27">
        <v>3</v>
      </c>
      <c r="AA24" s="28">
        <v>0.13</v>
      </c>
      <c r="AB24" s="6" t="s">
        <v>56</v>
      </c>
      <c r="AC24" s="6" t="s">
        <v>57</v>
      </c>
      <c r="AD24" s="6"/>
      <c r="AE24" s="6">
        <v>4</v>
      </c>
    </row>
    <row r="25" spans="1:31" x14ac:dyDescent="0.2">
      <c r="A25" s="25" t="s">
        <v>32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 t="s">
        <v>32</v>
      </c>
      <c r="P25" s="6"/>
      <c r="Q25" s="26"/>
      <c r="R25" s="6">
        <v>0</v>
      </c>
      <c r="S25" s="6">
        <v>0</v>
      </c>
      <c r="T25" s="27">
        <v>0</v>
      </c>
      <c r="U25" s="6"/>
      <c r="V25" s="30" t="s">
        <v>51</v>
      </c>
      <c r="W25" s="27">
        <v>0</v>
      </c>
      <c r="X25" s="6">
        <v>0</v>
      </c>
      <c r="Y25" s="6">
        <v>7</v>
      </c>
      <c r="Z25" s="6" t="e">
        <f>Y25/X25</f>
        <v>#DIV/0!</v>
      </c>
      <c r="AA25" s="28">
        <v>0</v>
      </c>
      <c r="AB25" s="6" t="s">
        <v>37</v>
      </c>
      <c r="AC25" s="6" t="s">
        <v>37</v>
      </c>
      <c r="AD25" s="6"/>
      <c r="AE25" s="6"/>
    </row>
    <row r="26" spans="1:31" x14ac:dyDescent="0.2">
      <c r="A26" s="25" t="s">
        <v>32</v>
      </c>
      <c r="B26" s="6"/>
      <c r="C26" s="6"/>
      <c r="D26" s="6"/>
      <c r="E26" s="6"/>
      <c r="F26" s="6"/>
      <c r="G26" s="6">
        <v>2</v>
      </c>
      <c r="H26" s="6">
        <v>1</v>
      </c>
      <c r="I26" s="6"/>
      <c r="J26" s="6">
        <v>3</v>
      </c>
      <c r="K26" s="6"/>
      <c r="L26" s="6"/>
      <c r="M26" s="6"/>
      <c r="N26" s="6"/>
      <c r="O26" s="6" t="s">
        <v>32</v>
      </c>
      <c r="P26" s="6"/>
      <c r="Q26" s="26"/>
      <c r="R26" s="6">
        <v>7</v>
      </c>
      <c r="S26" s="6">
        <v>6</v>
      </c>
      <c r="T26" s="27">
        <v>0.12</v>
      </c>
      <c r="U26" s="6">
        <v>16</v>
      </c>
      <c r="V26" s="6">
        <v>7</v>
      </c>
      <c r="W26" s="27">
        <v>0.38</v>
      </c>
      <c r="X26" s="6">
        <v>48</v>
      </c>
      <c r="Y26" s="6">
        <v>49</v>
      </c>
      <c r="Z26" s="27">
        <v>0.33</v>
      </c>
      <c r="AA26" s="28">
        <v>0.01</v>
      </c>
      <c r="AB26" s="6" t="s">
        <v>48</v>
      </c>
      <c r="AC26" s="6" t="s">
        <v>58</v>
      </c>
      <c r="AD26" s="6">
        <v>6</v>
      </c>
      <c r="AE26" s="6">
        <v>16</v>
      </c>
    </row>
    <row r="27" spans="1:31" x14ac:dyDescent="0.2">
      <c r="A27" s="25" t="s">
        <v>32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 t="s">
        <v>32</v>
      </c>
      <c r="P27" s="6"/>
      <c r="Q27" s="26"/>
      <c r="R27" s="6">
        <v>1</v>
      </c>
      <c r="S27" s="6">
        <v>0</v>
      </c>
      <c r="T27" s="27">
        <v>0</v>
      </c>
      <c r="U27" s="6"/>
      <c r="V27" s="30" t="s">
        <v>51</v>
      </c>
      <c r="W27" s="27">
        <v>0</v>
      </c>
      <c r="X27" s="6">
        <v>3</v>
      </c>
      <c r="Y27" s="6">
        <v>2</v>
      </c>
      <c r="Z27" s="27">
        <v>0</v>
      </c>
      <c r="AA27" s="28">
        <v>0</v>
      </c>
      <c r="AB27" s="6" t="s">
        <v>37</v>
      </c>
      <c r="AC27" s="6" t="s">
        <v>37</v>
      </c>
      <c r="AD27" s="6"/>
      <c r="AE27" s="6"/>
    </row>
    <row r="28" spans="1:31" x14ac:dyDescent="0.2">
      <c r="A28" s="25" t="s">
        <v>32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 t="s">
        <v>32</v>
      </c>
      <c r="P28" s="6"/>
      <c r="Q28" s="26"/>
      <c r="R28" s="6">
        <v>0</v>
      </c>
      <c r="S28" s="6">
        <v>0</v>
      </c>
      <c r="T28" s="27">
        <v>0</v>
      </c>
      <c r="U28" s="6"/>
      <c r="V28" s="30" t="s">
        <v>51</v>
      </c>
      <c r="W28" s="27">
        <v>0</v>
      </c>
      <c r="X28" s="6">
        <v>4</v>
      </c>
      <c r="Y28" s="6">
        <v>3</v>
      </c>
      <c r="Z28" s="27">
        <v>0</v>
      </c>
      <c r="AA28" s="28">
        <v>0</v>
      </c>
      <c r="AB28" s="6" t="s">
        <v>37</v>
      </c>
      <c r="AC28" s="6" t="s">
        <v>37</v>
      </c>
      <c r="AD28" s="6"/>
      <c r="AE28" s="6"/>
    </row>
    <row r="29" spans="1:31" x14ac:dyDescent="0.2">
      <c r="A29" s="25" t="s">
        <v>32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 t="s">
        <v>32</v>
      </c>
      <c r="P29" s="6"/>
      <c r="Q29" s="26"/>
      <c r="R29" s="6">
        <v>2</v>
      </c>
      <c r="S29" s="6">
        <v>0</v>
      </c>
      <c r="T29" s="27">
        <v>0</v>
      </c>
      <c r="U29" s="6"/>
      <c r="V29" s="30" t="s">
        <v>51</v>
      </c>
      <c r="W29" s="27">
        <v>0</v>
      </c>
      <c r="X29" s="6">
        <v>3</v>
      </c>
      <c r="Y29" s="6">
        <v>5</v>
      </c>
      <c r="Z29" s="27">
        <v>0</v>
      </c>
      <c r="AA29" s="28">
        <v>0</v>
      </c>
      <c r="AB29" s="6" t="s">
        <v>37</v>
      </c>
      <c r="AC29" s="6" t="s">
        <v>37</v>
      </c>
      <c r="AD29" s="6"/>
      <c r="AE29" s="6"/>
    </row>
    <row r="30" spans="1:31" x14ac:dyDescent="0.2">
      <c r="A30" s="25">
        <v>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 t="s">
        <v>32</v>
      </c>
      <c r="P30" s="6"/>
      <c r="Q30" s="26"/>
      <c r="R30" s="6">
        <v>0</v>
      </c>
      <c r="S30" s="6">
        <v>1</v>
      </c>
      <c r="T30" s="27">
        <v>0.02</v>
      </c>
      <c r="U30" s="6">
        <v>2</v>
      </c>
      <c r="V30" s="6">
        <v>19</v>
      </c>
      <c r="W30" s="27">
        <v>0.5</v>
      </c>
      <c r="X30" s="6">
        <v>9</v>
      </c>
      <c r="Y30" s="6">
        <v>4</v>
      </c>
      <c r="Z30" s="27">
        <v>0.22</v>
      </c>
      <c r="AA30" s="28">
        <v>0.13</v>
      </c>
      <c r="AB30" s="6" t="s">
        <v>59</v>
      </c>
      <c r="AC30" s="6" t="s">
        <v>41</v>
      </c>
      <c r="AD30" s="6">
        <v>14</v>
      </c>
      <c r="AE30" s="6">
        <v>7</v>
      </c>
    </row>
    <row r="31" spans="1:31" x14ac:dyDescent="0.2">
      <c r="A31" s="25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>
        <v>2</v>
      </c>
      <c r="L31" s="6">
        <v>1</v>
      </c>
      <c r="M31" s="6"/>
      <c r="N31" s="6"/>
      <c r="O31" s="6" t="s">
        <v>32</v>
      </c>
      <c r="P31" s="6"/>
      <c r="Q31" s="26"/>
      <c r="R31" s="6">
        <v>9</v>
      </c>
      <c r="S31" s="6">
        <v>3</v>
      </c>
      <c r="T31" s="27">
        <v>0.11</v>
      </c>
      <c r="U31" s="6">
        <v>7</v>
      </c>
      <c r="V31" s="6">
        <v>13</v>
      </c>
      <c r="W31" s="27">
        <v>0.43</v>
      </c>
      <c r="X31" s="6">
        <v>35</v>
      </c>
      <c r="Y31" s="6">
        <v>24</v>
      </c>
      <c r="Z31" s="27">
        <v>0.2</v>
      </c>
      <c r="AA31" s="28">
        <v>0.02</v>
      </c>
      <c r="AB31" s="6" t="s">
        <v>34</v>
      </c>
      <c r="AC31" s="6" t="s">
        <v>60</v>
      </c>
      <c r="AD31" s="6">
        <v>17</v>
      </c>
      <c r="AE31" s="6">
        <v>17</v>
      </c>
    </row>
    <row r="32" spans="1:31" x14ac:dyDescent="0.2">
      <c r="A32" s="25" t="s">
        <v>32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>
        <v>1</v>
      </c>
      <c r="N32" s="6">
        <v>1</v>
      </c>
      <c r="O32" s="6">
        <v>2</v>
      </c>
      <c r="P32" s="6">
        <v>2</v>
      </c>
      <c r="Q32" s="26">
        <v>1</v>
      </c>
      <c r="R32" s="6">
        <v>6</v>
      </c>
      <c r="S32" s="6">
        <v>4</v>
      </c>
      <c r="T32" s="27">
        <v>0.18</v>
      </c>
      <c r="U32" s="6">
        <v>8</v>
      </c>
      <c r="V32" s="6">
        <v>11</v>
      </c>
      <c r="W32" s="27">
        <v>0.5</v>
      </c>
      <c r="X32" s="6">
        <v>29</v>
      </c>
      <c r="Y32" s="6">
        <v>42</v>
      </c>
      <c r="Z32" s="27">
        <v>0.28000000000000003</v>
      </c>
      <c r="AA32" s="28">
        <v>0.01</v>
      </c>
      <c r="AB32" s="6" t="s">
        <v>61</v>
      </c>
      <c r="AC32" s="6" t="s">
        <v>42</v>
      </c>
      <c r="AD32" s="6">
        <v>10</v>
      </c>
      <c r="AE32" s="6">
        <v>21</v>
      </c>
    </row>
    <row r="33" spans="1:31" x14ac:dyDescent="0.2">
      <c r="A33" s="25">
        <v>1</v>
      </c>
      <c r="B33" s="6"/>
      <c r="C33" s="6"/>
      <c r="D33" s="6"/>
      <c r="E33" s="6">
        <v>2</v>
      </c>
      <c r="F33" s="6">
        <v>6</v>
      </c>
      <c r="G33" s="6">
        <v>4</v>
      </c>
      <c r="H33" s="6">
        <v>1</v>
      </c>
      <c r="I33" s="6"/>
      <c r="J33" s="6">
        <v>2</v>
      </c>
      <c r="K33" s="6">
        <v>1</v>
      </c>
      <c r="L33" s="6">
        <v>1</v>
      </c>
      <c r="M33" s="6"/>
      <c r="N33" s="6"/>
      <c r="O33" s="6" t="s">
        <v>32</v>
      </c>
      <c r="P33" s="6"/>
      <c r="Q33" s="26"/>
      <c r="R33" s="6">
        <v>17</v>
      </c>
      <c r="S33" s="6">
        <v>18</v>
      </c>
      <c r="T33" s="27">
        <v>0.09</v>
      </c>
      <c r="U33" s="6">
        <v>28</v>
      </c>
      <c r="V33" s="31">
        <v>2</v>
      </c>
      <c r="W33" s="27">
        <v>0.64</v>
      </c>
      <c r="X33" s="6">
        <v>117</v>
      </c>
      <c r="Y33" s="6">
        <v>66</v>
      </c>
      <c r="Z33" s="27">
        <v>0.24</v>
      </c>
      <c r="AA33" s="28">
        <v>0.01</v>
      </c>
      <c r="AB33" s="6" t="s">
        <v>62</v>
      </c>
      <c r="AC33" s="6" t="s">
        <v>63</v>
      </c>
      <c r="AD33" s="6">
        <v>12</v>
      </c>
      <c r="AE33" s="6">
        <v>11</v>
      </c>
    </row>
    <row r="34" spans="1:31" x14ac:dyDescent="0.2">
      <c r="A34" s="25" t="s">
        <v>32</v>
      </c>
      <c r="B34" s="6"/>
      <c r="C34" s="6"/>
      <c r="D34" s="6"/>
      <c r="E34" s="6"/>
      <c r="F34" s="6"/>
      <c r="G34" s="6"/>
      <c r="H34" s="6">
        <v>1</v>
      </c>
      <c r="I34" s="6"/>
      <c r="J34" s="6"/>
      <c r="K34" s="6"/>
      <c r="L34" s="6"/>
      <c r="M34" s="6"/>
      <c r="N34" s="6"/>
      <c r="O34" s="6" t="s">
        <v>32</v>
      </c>
      <c r="P34" s="6"/>
      <c r="Q34" s="26"/>
      <c r="R34" s="6">
        <v>4</v>
      </c>
      <c r="S34" s="6">
        <v>1</v>
      </c>
      <c r="T34" s="27">
        <v>0.06</v>
      </c>
      <c r="U34" s="6"/>
      <c r="V34" s="30" t="s">
        <v>51</v>
      </c>
      <c r="W34" s="27">
        <v>0</v>
      </c>
      <c r="X34" s="6">
        <v>22</v>
      </c>
      <c r="Y34" s="6">
        <v>9</v>
      </c>
      <c r="Z34" s="27">
        <v>0</v>
      </c>
      <c r="AA34" s="28">
        <v>0</v>
      </c>
      <c r="AB34" s="6" t="s">
        <v>37</v>
      </c>
      <c r="AC34" s="6" t="s">
        <v>37</v>
      </c>
      <c r="AD34" s="6"/>
      <c r="AE34" s="6"/>
    </row>
    <row r="35" spans="1:31" x14ac:dyDescent="0.2">
      <c r="A35" s="25" t="s">
        <v>32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 t="s">
        <v>32</v>
      </c>
      <c r="P35" s="6"/>
      <c r="Q35" s="26"/>
      <c r="R35" s="6">
        <v>4</v>
      </c>
      <c r="S35" s="6">
        <v>0</v>
      </c>
      <c r="T35" s="27">
        <v>0</v>
      </c>
      <c r="U35" s="6">
        <v>6</v>
      </c>
      <c r="V35" s="6">
        <v>14</v>
      </c>
      <c r="W35" s="27">
        <v>0</v>
      </c>
      <c r="X35" s="6">
        <v>48</v>
      </c>
      <c r="Y35" s="6">
        <v>55</v>
      </c>
      <c r="Z35" s="27">
        <v>0.13</v>
      </c>
      <c r="AA35" s="28">
        <v>0</v>
      </c>
      <c r="AB35" s="6" t="s">
        <v>64</v>
      </c>
      <c r="AC35" s="6" t="s">
        <v>65</v>
      </c>
      <c r="AD35" s="6">
        <v>19</v>
      </c>
      <c r="AE35" s="6">
        <v>24</v>
      </c>
    </row>
    <row r="36" spans="1:31" x14ac:dyDescent="0.2">
      <c r="A36" s="25" t="s">
        <v>32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 t="s">
        <v>32</v>
      </c>
      <c r="P36" s="6"/>
      <c r="Q36" s="26"/>
      <c r="R36" s="6">
        <v>0</v>
      </c>
      <c r="S36" s="6">
        <v>0</v>
      </c>
      <c r="T36" s="27">
        <v>0</v>
      </c>
      <c r="U36" s="6">
        <v>1</v>
      </c>
      <c r="V36" s="6">
        <v>23</v>
      </c>
      <c r="W36" s="27">
        <v>0</v>
      </c>
      <c r="X36" s="6">
        <v>4</v>
      </c>
      <c r="Y36" s="6">
        <v>3</v>
      </c>
      <c r="Z36" s="27">
        <v>0.25</v>
      </c>
      <c r="AA36" s="28">
        <v>0</v>
      </c>
      <c r="AB36" s="6" t="s">
        <v>66</v>
      </c>
      <c r="AC36" s="6" t="s">
        <v>48</v>
      </c>
      <c r="AD36" s="6">
        <v>11</v>
      </c>
      <c r="AE36" s="6">
        <v>15</v>
      </c>
    </row>
    <row r="37" spans="1:31" x14ac:dyDescent="0.2">
      <c r="A37" s="25" t="s">
        <v>32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 t="s">
        <v>32</v>
      </c>
      <c r="P37" s="6"/>
      <c r="Q37" s="26"/>
      <c r="R37" s="6">
        <v>3</v>
      </c>
      <c r="S37" s="6">
        <v>0</v>
      </c>
      <c r="T37" s="27">
        <v>0</v>
      </c>
      <c r="U37" s="6">
        <v>6</v>
      </c>
      <c r="V37" s="6">
        <v>14</v>
      </c>
      <c r="W37" s="27">
        <v>0</v>
      </c>
      <c r="X37" s="6">
        <v>29</v>
      </c>
      <c r="Y37" s="6">
        <v>36</v>
      </c>
      <c r="Z37" s="27">
        <v>0.21</v>
      </c>
      <c r="AA37" s="28">
        <v>0</v>
      </c>
      <c r="AB37" s="6" t="s">
        <v>67</v>
      </c>
      <c r="AC37" s="6" t="s">
        <v>68</v>
      </c>
      <c r="AD37" s="6">
        <v>15</v>
      </c>
      <c r="AE37" s="6">
        <v>22</v>
      </c>
    </row>
    <row r="38" spans="1:31" x14ac:dyDescent="0.2">
      <c r="A38" s="25">
        <v>1</v>
      </c>
      <c r="B38" s="6"/>
      <c r="C38" s="6">
        <v>4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 t="s">
        <v>32</v>
      </c>
      <c r="P38" s="6"/>
      <c r="Q38" s="26"/>
      <c r="R38" s="6">
        <v>0</v>
      </c>
      <c r="S38" s="6">
        <v>5</v>
      </c>
      <c r="T38" s="27">
        <v>1</v>
      </c>
      <c r="U38" s="6">
        <v>6</v>
      </c>
      <c r="V38" s="6">
        <v>14</v>
      </c>
      <c r="W38" s="27">
        <v>0.83</v>
      </c>
      <c r="X38" s="6">
        <v>5</v>
      </c>
      <c r="Y38" s="6">
        <v>9</v>
      </c>
      <c r="Z38" s="27">
        <v>1.2</v>
      </c>
      <c r="AA38" s="28">
        <v>0.09</v>
      </c>
      <c r="AB38" s="6" t="s">
        <v>69</v>
      </c>
      <c r="AC38" s="6" t="s">
        <v>70</v>
      </c>
      <c r="AD38" s="6"/>
      <c r="AE38" s="6">
        <v>2</v>
      </c>
    </row>
    <row r="39" spans="1:31" x14ac:dyDescent="0.2">
      <c r="A39" s="25" t="s">
        <v>32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 t="s">
        <v>32</v>
      </c>
      <c r="P39" s="6"/>
      <c r="Q39" s="26"/>
      <c r="R39" s="6">
        <v>6</v>
      </c>
      <c r="S39" s="6">
        <v>0</v>
      </c>
      <c r="T39" s="27">
        <v>0</v>
      </c>
      <c r="U39" s="6"/>
      <c r="V39" s="30" t="s">
        <v>51</v>
      </c>
      <c r="W39" s="27">
        <v>0</v>
      </c>
      <c r="X39" s="6">
        <v>1</v>
      </c>
      <c r="Y39" s="6">
        <v>6</v>
      </c>
      <c r="Z39" s="27">
        <v>0</v>
      </c>
      <c r="AA39" s="28">
        <v>0</v>
      </c>
      <c r="AB39" s="6" t="s">
        <v>37</v>
      </c>
      <c r="AC39" s="6" t="s">
        <v>37</v>
      </c>
      <c r="AD39" s="6"/>
      <c r="AE39" s="6"/>
    </row>
    <row r="40" spans="1:31" x14ac:dyDescent="0.2">
      <c r="A40" s="25" t="s">
        <v>32</v>
      </c>
      <c r="B40" s="6"/>
      <c r="C40" s="6">
        <v>1</v>
      </c>
      <c r="D40" s="6"/>
      <c r="E40" s="6"/>
      <c r="F40" s="6">
        <v>1</v>
      </c>
      <c r="G40" s="6">
        <v>1</v>
      </c>
      <c r="H40" s="6">
        <v>1</v>
      </c>
      <c r="I40" s="6"/>
      <c r="J40" s="6"/>
      <c r="K40" s="6">
        <v>1</v>
      </c>
      <c r="L40" s="6">
        <v>3</v>
      </c>
      <c r="M40" s="6">
        <v>3</v>
      </c>
      <c r="N40" s="6">
        <v>2</v>
      </c>
      <c r="O40" s="6">
        <v>1</v>
      </c>
      <c r="P40" s="6">
        <v>2</v>
      </c>
      <c r="Q40" s="26"/>
      <c r="R40" s="6">
        <v>10</v>
      </c>
      <c r="S40" s="6">
        <v>14</v>
      </c>
      <c r="T40" s="27">
        <v>0.11</v>
      </c>
      <c r="U40" s="6">
        <v>36</v>
      </c>
      <c r="V40" s="32">
        <v>1</v>
      </c>
      <c r="W40" s="27">
        <v>0.39</v>
      </c>
      <c r="X40" s="6">
        <v>123</v>
      </c>
      <c r="Y40" s="6">
        <v>75</v>
      </c>
      <c r="Z40" s="27">
        <v>0.28999999999999998</v>
      </c>
      <c r="AA40" s="28">
        <v>0.01</v>
      </c>
      <c r="AB40" s="6" t="s">
        <v>71</v>
      </c>
      <c r="AC40" s="6" t="s">
        <v>49</v>
      </c>
      <c r="AD40" s="6">
        <v>8</v>
      </c>
      <c r="AE40" s="6">
        <v>9</v>
      </c>
    </row>
    <row r="41" spans="1:31" x14ac:dyDescent="0.2">
      <c r="A41" s="25" t="s">
        <v>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 t="s">
        <v>32</v>
      </c>
      <c r="P41" s="6">
        <v>1</v>
      </c>
      <c r="Q41" s="26"/>
      <c r="R41" s="6">
        <v>3</v>
      </c>
      <c r="S41" s="6">
        <v>0</v>
      </c>
      <c r="T41" s="27">
        <v>0</v>
      </c>
      <c r="U41" s="6"/>
      <c r="V41" s="30" t="s">
        <v>51</v>
      </c>
      <c r="W41" s="27">
        <v>0</v>
      </c>
      <c r="X41" s="6">
        <v>3</v>
      </c>
      <c r="Y41" s="6">
        <v>2</v>
      </c>
      <c r="Z41" s="27">
        <v>0</v>
      </c>
      <c r="AA41" s="28">
        <v>0</v>
      </c>
      <c r="AB41" s="6" t="s">
        <v>37</v>
      </c>
      <c r="AC41" s="6" t="s">
        <v>37</v>
      </c>
      <c r="AD41" s="6"/>
      <c r="AE41" s="6"/>
    </row>
    <row r="42" spans="1:31" x14ac:dyDescent="0.2">
      <c r="A42" s="25" t="s">
        <v>32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 t="s">
        <v>32</v>
      </c>
      <c r="P42" s="6"/>
      <c r="Q42" s="26"/>
      <c r="R42" s="6">
        <v>1</v>
      </c>
      <c r="S42" s="6">
        <v>0</v>
      </c>
      <c r="T42" s="27">
        <v>0</v>
      </c>
      <c r="U42" s="6"/>
      <c r="V42" s="30" t="s">
        <v>51</v>
      </c>
      <c r="W42" s="27">
        <v>0</v>
      </c>
      <c r="X42" s="6">
        <v>0</v>
      </c>
      <c r="Y42" s="6"/>
      <c r="Z42" s="6"/>
      <c r="AA42" s="33"/>
      <c r="AB42" s="6" t="s">
        <v>37</v>
      </c>
      <c r="AC42" s="6" t="s">
        <v>37</v>
      </c>
      <c r="AD42" s="6"/>
      <c r="AE42" s="6"/>
    </row>
    <row r="43" spans="1:31" x14ac:dyDescent="0.2">
      <c r="A43" s="25" t="s">
        <v>32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>
        <v>3</v>
      </c>
      <c r="O43" s="6" t="s">
        <v>32</v>
      </c>
      <c r="P43" s="6">
        <v>3</v>
      </c>
      <c r="Q43" s="26"/>
      <c r="R43" s="6">
        <v>3</v>
      </c>
      <c r="S43" s="6">
        <v>3</v>
      </c>
      <c r="T43" s="27">
        <v>0.11</v>
      </c>
      <c r="U43" s="6">
        <v>21</v>
      </c>
      <c r="V43" s="6">
        <v>4</v>
      </c>
      <c r="W43" s="27">
        <v>0.14000000000000001</v>
      </c>
      <c r="X43" s="6">
        <v>46</v>
      </c>
      <c r="Y43" s="6">
        <v>57</v>
      </c>
      <c r="Z43" s="27">
        <v>0.46</v>
      </c>
      <c r="AA43" s="28">
        <v>0</v>
      </c>
      <c r="AB43" s="6" t="s">
        <v>72</v>
      </c>
      <c r="AC43" s="6" t="s">
        <v>73</v>
      </c>
      <c r="AD43" s="6">
        <v>4</v>
      </c>
      <c r="AE43" s="6">
        <v>13</v>
      </c>
    </row>
  </sheetData>
  <mergeCells count="16">
    <mergeCell ref="AB2:AB3"/>
    <mergeCell ref="AC2:AC3"/>
    <mergeCell ref="AD2:AD3"/>
    <mergeCell ref="AE2:AE3"/>
    <mergeCell ref="V2:V3"/>
    <mergeCell ref="W2:W3"/>
    <mergeCell ref="X2:X3"/>
    <mergeCell ref="Y2:Y3"/>
    <mergeCell ref="Z2:Z3"/>
    <mergeCell ref="AA2:AA3"/>
    <mergeCell ref="A1:L1"/>
    <mergeCell ref="M1:O1"/>
    <mergeCell ref="R2:R3"/>
    <mergeCell ref="S2:S3"/>
    <mergeCell ref="T2:T3"/>
    <mergeCell ref="U2: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Suemy Barragán Rueda</dc:creator>
  <cp:lastModifiedBy>Suemy Barragán Rueda</cp:lastModifiedBy>
  <dcterms:created xsi:type="dcterms:W3CDTF">2026-08-20T04:19:01Z</dcterms:created>
  <dcterms:modified xsi:type="dcterms:W3CDTF">2026-08-20T04:19:55Z</dcterms:modified>
</cp:coreProperties>
</file>